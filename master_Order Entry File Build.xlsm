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workbookProtection workbookAlgorithmName="SHA-512" workbookHashValue="ZJZyVfOBY5m/KiZRrgFsn/iVfLbjyqI4HazfBpGaX5I/HMFLkj9jQdpAJagftcniYIvvKUh8XYtKzvnclW6w0A==" workbookSaltValue="p2RCU0sbsj8OfCGAVlK1Cg==" workbookSpinCount="100000" lockStructure="1"/>
  <bookViews>
    <workbookView xWindow="0" yWindow="0" windowWidth="15360" windowHeight="9990" tabRatio="787" firstSheet="19" activeTab="24"/>
  </bookViews>
  <sheets>
    <sheet name="Instr Phase 1" sheetId="42" r:id="rId1"/>
    <sheet name="OE SOURCE" sheetId="14" r:id="rId2"/>
    <sheet name="Instr Phase 2" sheetId="35" r:id="rId3"/>
    <sheet name="Instr Phase 3" sheetId="36"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r:id="rId12"/>
    <sheet name="Diet-Supp" sheetId="33" r:id="rId13"/>
    <sheet name="Insulin" sheetId="41" r:id="rId14"/>
    <sheet name="eMAR Types Proc" sheetId="30" r:id="rId15"/>
    <sheet name="eMAR Events" sheetId="31" r:id="rId16"/>
    <sheet name="eMAR Reg" sheetId="34" r:id="rId17"/>
    <sheet name="ORDER GROUPS" sheetId="13" r:id="rId18"/>
    <sheet name="OE Roles" sheetId="38" r:id="rId19"/>
    <sheet name="OE Security" sheetId="19" r:id="rId20"/>
    <sheet name="REASON FOR CHANGE" sheetId="18" r:id="rId21"/>
    <sheet name="NOTE CATEGORY" sheetId="6" r:id="rId22"/>
    <sheet name="Pre-Authorizations" sheetId="12" r:id="rId23"/>
    <sheet name="Override-Basic Duplicate" sheetId="21" r:id="rId24"/>
    <sheet name="NTST MACROS" sheetId="40" r:id="rId25"/>
    <sheet name="NTST ONLY" sheetId="27" r:id="rId26"/>
  </sheets>
  <externalReferences>
    <externalReference r:id="rId27"/>
    <externalReference r:id="rId28"/>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1"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'[2]NTST Only (Hide)'!$A$1:$D$1</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1" i="42" l="1"/>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B41" i="42"/>
  <c r="C41" i="42" s="1"/>
  <c r="I17" i="36" l="1"/>
  <c r="I13" i="36"/>
  <c r="I17" i="35"/>
  <c r="I13" i="35"/>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<sst xmlns="http://schemas.openxmlformats.org/spreadsheetml/2006/main" count="11576" uniqueCount="496">
  <si>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</si>
  <si>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</si>
  <si>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</si>
  <si>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</si>
  <si>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</si>
  <si>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</si>
  <si>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</si>
  <si>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</si>
  <si>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</si>
  <si>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</si>
  <si>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</si>
  <si>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</si>
  <si>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</si>
  <si>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</si>
  <si>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</si>
  <si>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</si>
  <si>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</si>
  <si>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</si>
  <si>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</si>
  <si>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</si>
  <si>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</si>
  <si>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</si>
  <si>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</si>
  <si>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</si>
  <si>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</si>
  <si>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</si>
  <si>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</si>
  <si>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</si>
  <si>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</si>
  <si>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</si>
  <si>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</si>
  <si>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</si>
  <si>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</si>
  <si>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</si>
  <si>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</si>
  <si>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</si>
  <si>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</si>
  <si>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</si>
  <si>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</si>
  <si>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</si>
  <si>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</si>
  <si>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</si>
  <si>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</si>
  <si>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</si>
  <si>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</si>
  <si>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</si>
  <si>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</si>
  <si>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</si>
  <si>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</si>
  <si>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</si>
  <si>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</si>
  <si>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</si>
  <si>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</si>
  <si>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</si>
  <si>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</si>
  <si>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</si>
  <si>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</si>
  <si>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</si>
  <si>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</si>
  <si>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</si>
  <si>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</si>
  <si>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</si>
  <si>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</si>
  <si>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</si>
  <si>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</si>
  <si>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</si>
  <si>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</si>
  <si>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</si>
  <si>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</si>
  <si>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</si>
  <si>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</si>
  <si>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</si>
  <si>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</si>
  <si>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</si>
  <si>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</si>
  <si>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</si>
  <si>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</si>
  <si>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</si>
  <si>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</si>
  <si>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</si>
  <si>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</si>
  <si>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</si>
  <si>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</si>
  <si>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</si>
  <si>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</si>
  <si>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</si>
  <si>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</si>
  <si>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</si>
  <si>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</si>
  <si>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</si>
  <si>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</si>
  <si>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</si>
  <si>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</si>
  <si>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</si>
  <si>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</si>
  <si>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</si>
  <si>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</si>
  <si>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</si>
  <si>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</si>
  <si>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</si>
  <si>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</si>
  <si>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</si>
  <si>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</si>
  <si>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</si>
  <si>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</si>
  <si>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</si>
  <si>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</si>
  <si>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</si>
  <si>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</si>
  <si>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</si>
  <si>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</si>
  <si>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</si>
  <si>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</si>
  <si>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</si>
  <si>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</si>
  <si>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</si>
  <si>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</si>
  <si>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</si>
  <si>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</si>
  <si>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</si>
  <si>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</si>
  <si>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</si>
  <si>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</si>
  <si>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</si>
  <si>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</si>
  <si>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</si>
  <si>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</si>
  <si>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</si>
  <si>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</si>
  <si>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</si>
  <si>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</si>
  <si>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</si>
  <si>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</si>
  <si>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</si>
  <si>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</si>
  <si>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</si>
  <si>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</si>
  <si>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</si>
  <si>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</si>
  <si>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</si>
  <si>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</si>
  <si>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</si>
  <si>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</si>
  <si>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</si>
  <si>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</si>
  <si>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</si>
  <si>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</si>
  <si>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</si>
  <si>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</si>
  <si>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</si>
  <si>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</si>
  <si>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</si>
  <si>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</si>
  <si>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</si>
  <si>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</si>
  <si>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</si>
  <si>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</si>
  <si>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</si>
  <si>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</si>
  <si>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</si>
  <si>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</si>
  <si>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</si>
  <si>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</si>
  <si>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</si>
  <si>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</si>
  <si>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</si>
  <si>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</si>
  <si>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</si>
  <si>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</si>
  <si>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</si>
  <si>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</si>
  <si>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</si>
  <si>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</si>
  <si>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</si>
  <si>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</si>
  <si>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</si>
  <si>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</si>
  <si>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</si>
  <si>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</si>
  <si>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</si>
  <si>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</si>
  <si>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</si>
  <si>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</si>
  <si>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</si>
  <si>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</si>
  <si>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</si>
  <si>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</si>
  <si>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</si>
  <si>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</si>
  <si>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</si>
  <si>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</si>
  <si>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</si>
  <si>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</si>
  <si>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</si>
  <si>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</si>
  <si>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</si>
  <si>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</si>
  <si>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</si>
  <si>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</si>
  <si>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</si>
  <si>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</si>
  <si>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</si>
  <si>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</si>
  <si>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</si>
  <si>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</si>
  <si>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</si>
  <si>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</si>
  <si>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</si>
  <si>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</si>
  <si>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</si>
  <si>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</si>
  <si>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</si>
  <si>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</si>
  <si>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</si>
  <si>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</si>
  <si>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</si>
  <si>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</si>
  <si>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</si>
  <si>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</si>
  <si>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</si>
  <si>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</si>
  <si>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</si>
  <si>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</si>
  <si>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</si>
  <si>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</si>
  <si>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</si>
  <si>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</si>
  <si>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</si>
  <si>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</si>
  <si>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</si>
  <si>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</si>
  <si>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</si>
  <si>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</si>
  <si>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</si>
  <si>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</si>
  <si>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</si>
  <si>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</si>
  <si>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</si>
  <si>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</si>
  <si>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</si>
  <si>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</si>
  <si>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</si>
  <si>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</si>
  <si>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</si>
  <si>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</si>
  <si>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</si>
  <si>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</si>
  <si>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</si>
  <si>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</si>
  <si>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</si>
  <si>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</si>
  <si>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</si>
  <si>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</si>
  <si>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</si>
  <si>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</si>
  <si>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</si>
  <si>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</si>
  <si>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</si>
  <si>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</si>
  <si>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</si>
  <si>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</si>
  <si>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</si>
  <si>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</si>
  <si>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</si>
  <si>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</si>
  <si>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</si>
  <si>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</si>
  <si>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</si>
  <si>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</si>
  <si>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</si>
  <si>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</si>
  <si>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</si>
  <si>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</si>
  <si>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</si>
  <si>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</si>
  <si>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</si>
  <si>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</si>
  <si>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</si>
  <si>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</si>
  <si>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</si>
  <si>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</si>
  <si>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</si>
  <si>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</si>
  <si>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</si>
  <si>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</si>
  <si>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</si>
  <si>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</si>
  <si>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</si>
  <si>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</si>
  <si>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</si>
  <si>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</si>
  <si>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</si>
  <si>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</si>
  <si>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</si>
  <si>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</si>
  <si>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</si>
  <si>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</si>
  <si>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</si>
  <si>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</si>
  <si>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</si>
  <si>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</si>
  <si>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</si>
  <si>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</si>
  <si>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</si>
  <si>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</si>
  <si>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</si>
  <si>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</si>
  <si>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</si>
  <si>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</si>
  <si>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</si>
  <si>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</si>
  <si>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</si>
  <si>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</si>
  <si>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</si>
  <si>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</si>
  <si>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</si>
  <si>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</si>
  <si>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</si>
  <si>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</si>
  <si>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</si>
  <si>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</si>
  <si>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</si>
  <si>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</si>
  <si>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</si>
  <si>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</si>
  <si>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</si>
  <si>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</si>
  <si>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</si>
  <si>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</si>
  <si>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</si>
  <si>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</si>
  <si>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</si>
  <si>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</si>
  <si>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</si>
  <si>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</si>
  <si>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</si>
  <si>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</si>
  <si>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</si>
  <si>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</si>
  <si>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</si>
  <si>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</si>
  <si>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</si>
  <si>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</si>
  <si>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</si>
  <si>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</si>
  <si>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</si>
  <si>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</si>
  <si>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</si>
  <si>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</si>
  <si>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</si>
  <si>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</si>
  <si>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</si>
  <si>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</si>
  <si>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</si>
  <si>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</si>
  <si>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</si>
  <si>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</si>
  <si>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</si>
  <si>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</si>
  <si>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</si>
  <si>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</si>
  <si>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</si>
  <si>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</si>
  <si>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</si>
  <si>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</si>
  <si>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</si>
  <si>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</si>
  <si>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</si>
  <si>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</si>
  <si>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</si>
  <si>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</si>
  <si>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</si>
  <si>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</si>
  <si>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</si>
  <si>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</si>
  <si>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</si>
  <si>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</si>
  <si>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</si>
  <si>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</si>
  <si>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</si>
  <si>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</si>
  <si>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</si>
  <si>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</si>
  <si>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</si>
  <si>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</si>
  <si>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</si>
  <si>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</si>
  <si>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</si>
  <si>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</si>
  <si>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</si>
  <si>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</si>
  <si>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</si>
  <si>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</si>
  <si>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</si>
  <si>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</si>
  <si>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</si>
  <si>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</si>
  <si>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</si>
  <si>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</si>
  <si>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</si>
  <si>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</si>
  <si>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</si>
  <si>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</si>
  <si>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</si>
  <si>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</si>
  <si>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</si>
  <si>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</si>
  <si>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</si>
  <si>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</si>
  <si>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</si>
  <si>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</si>
  <si>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</si>
  <si>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</si>
  <si>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</si>
  <si>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</si>
  <si>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 xml:space="preserve"> Unprotect ORDER TYPE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</si>
  <si>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</si>
  <si>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</si>
  <si>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</si>
  <si>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</si>
  <si>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</si>
  <si>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</si>
  <si>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</si>
  <si>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</si>
  <si>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</si>
  <si>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</si>
  <si>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</si>
  <si>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</si>
  <si>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</si>
  <si>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</si>
  <si>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</si>
  <si>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</si>
  <si>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</si>
  <si>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</si>
  <si>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</si>
  <si>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</si>
  <si>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</si>
  <si>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</si>
  <si>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</si>
  <si>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</si>
  <si>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</si>
  <si>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</si>
  <si>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</si>
  <si>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</si>
  <si>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</si>
  <si>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</si>
  <si>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</si>
  <si>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</si>
  <si>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</si>
  <si>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</si>
  <si>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</si>
  <si>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</si>
  <si>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In NTST MACROS, add "CURRENT STATUS" to cell B1 and Fill Green</t>
  </si>
  <si>
    <t>In NTST MACROS, add "CURRENT STATUS" to cell C1 and Fill Green</t>
  </si>
  <si>
    <t>In NTST MACROS, remove text and fill from B1</t>
  </si>
  <si>
    <t>In NTST MACROS, remove text and fill from C1</t>
  </si>
  <si>
    <t>In NTST MACROS, add "CURRENT STATUS" to cell D1 and Fill Green</t>
  </si>
  <si>
    <t>In NTST MACROS, remove text and fill from D1</t>
  </si>
  <si>
    <t>In NTST MACROS, add "CURRENT STATUS" to cell E1 and Fill Green</t>
  </si>
  <si>
    <t>In NTST MACROS, remove text and fill from E1</t>
  </si>
  <si>
    <t>In NTST MACROS, add "CURRENT STATUS" to cell F1 and Fill Green</t>
  </si>
  <si>
    <t>Unprotect All Visible Sheets</t>
  </si>
  <si>
    <t>In NTST MACROS, remove text and fill from F1</t>
  </si>
  <si>
    <t>In NTST MACROS, add "CURRENT STATUS" to cell G1 and Fill Green</t>
  </si>
  <si>
    <t>In NTST MACROS, add "CURRENT STATUS" to cell A1 and Fill Green</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</si>
  <si>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</si>
  <si>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</si>
  <si>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</si>
  <si>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</si>
  <si>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</si>
  <si>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</si>
  <si>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</si>
  <si>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</si>
  <si>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</si>
  <si>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</si>
  <si>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</si>
  <si>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</si>
  <si>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</si>
  <si>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</si>
  <si>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</si>
  <si>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</si>
  <si>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</si>
  <si>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</si>
  <si>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</si>
  <si>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</si>
  <si>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</si>
  <si>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</si>
  <si>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</si>
  <si>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</si>
  <si>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</si>
  <si>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</si>
  <si>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</si>
  <si>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</si>
  <si>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</si>
  <si>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</si>
  <si>
    <t>:D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</si>
</sst>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0"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s>
  <fills count="28">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3">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4" fillId="16" borderId="0" xfId="0" applyFont="1" applyFill="1" applyAlignment="1">
      <alignment wrapText="1"/>
    </xf>
    <xf numFmtId="0" fontId="22"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171450</xdr:colOff>
      <xdr:row>1</xdr:row>
      <xdr:rowOff>40005</xdr:rowOff>
    </xdr:from>
    <xdr:ext cx="5644162" cy="1453515"/>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1299210" y="207645"/>
          <a:ext cx="5644162" cy="1453515"/>
        </a:xfrm>
        <a:prstGeom prst="rect">
          <a:avLst/>
        </a:prstGeom>
      </xdr:spPr>
    </xdr:pic>
    <xdr:clientData/>
  </xdr:oneCellAnchor>
  <xdr:twoCellAnchor>
    <xdr:from>
      <xdr:col>0</xdr:col>
      <xdr:colOff>53340</xdr:colOff>
      <xdr:row>17</xdr:row>
      <xdr:rowOff>76200</xdr:rowOff>
    </xdr:from>
    <xdr:to>
      <xdr:col>14</xdr:col>
      <xdr:colOff>297180</xdr:colOff>
      <xdr:row>33</xdr:row>
      <xdr:rowOff>22860</xdr:rowOff>
    </xdr:to>
    <xdr:sp macro="" textlink="">
      <xdr:nvSpPr>
        <xdr:cNvPr id="3" name="TextBox 2"/>
        <xdr:cNvSpPr txBox="1"/>
      </xdr:nvSpPr>
      <xdr:spPr>
        <a:xfrm>
          <a:off x="53340" y="2880360"/>
          <a:ext cx="10485120" cy="316992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a:ext uri="{84589F7E-364E-4C9E-8A38-B11213B215E9}">
                  <a14:cameraTool cellRange="'[1]Instr Phase 1'!$A$40:$C$61" spid="_x0000_s54316"/>
                </a:ext>
              </a:extLst>
            </xdr:cNvPicPr>
          </xdr:nvPicPr>
          <xdr:blipFill>
            <a:blip xmlns:r="http://schemas.openxmlformats.org/officeDocument/2006/relationships" r:embed="rId2"/>
            <a:srcRect/>
            <a:stretch>
              <a:fillRect/>
            </a:stretch>
          </xdr:blipFill>
          <xdr:spPr bwMode="auto">
            <a:xfrm>
              <a:off x="0" y="716280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a:ext uri="{84589F7E-364E-4C9E-8A38-B11213B215E9}">
                  <a14:cameraTool cellRange="'[1]Instr Phase 1'!$A$40:$C$61" spid="_x0000_s3116"/>
                </a:ext>
              </a:extLst>
            </xdr:cNvPicPr>
          </xdr:nvPicPr>
          <xdr:blipFill>
            <a:blip xmlns:r="http://schemas.openxmlformats.org/officeDocument/2006/relationships" r:embed="rId2"/>
            <a:srcRect/>
            <a:stretch>
              <a:fillRect/>
            </a:stretch>
          </xdr:blipFill>
          <xdr:spPr bwMode="auto">
            <a:xfrm>
              <a:off x="0" y="733806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28575</xdr:rowOff>
        </xdr:from>
        <xdr:to>
          <xdr:col>1</xdr:col>
          <xdr:colOff>1200150</xdr:colOff>
          <xdr:row>2</xdr:row>
          <xdr:rowOff>9525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47625</xdr:rowOff>
        </xdr:from>
        <xdr:to>
          <xdr:col>2</xdr:col>
          <xdr:colOff>1276350</xdr:colOff>
          <xdr:row>1</xdr:row>
          <xdr:rowOff>323850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xdr:row>
          <xdr:rowOff>47625</xdr:rowOff>
        </xdr:from>
        <xdr:to>
          <xdr:col>4</xdr:col>
          <xdr:colOff>1266825</xdr:colOff>
          <xdr:row>1</xdr:row>
          <xdr:rowOff>323850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xdr:row>
          <xdr:rowOff>38100</xdr:rowOff>
        </xdr:from>
        <xdr:to>
          <xdr:col>5</xdr:col>
          <xdr:colOff>1171575</xdr:colOff>
          <xdr:row>1</xdr:row>
          <xdr:rowOff>314325</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6</xdr:col>
          <xdr:colOff>1314450</xdr:colOff>
          <xdr:row>1</xdr:row>
          <xdr:rowOff>295275</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ward/Documents/Customers/FCS%20of%20OK/eMAR%20registry%20setting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row r="17">
          <cell r="F17">
            <v>45638</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AR"/>
      <sheetName val="NTST Only (Hide)"/>
    </sheetNames>
    <sheetDataSet>
      <sheetData sheetId="0"/>
      <sheetData sheetId="1">
        <row r="1">
          <cell r="A1" t="str">
            <v>Picklist</v>
          </cell>
          <cell r="B1" t="str">
            <v>Yes</v>
          </cell>
          <cell r="C1" t="str">
            <v>No</v>
          </cell>
          <cell r="D1" t="str">
            <v>???</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3.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0"/>
  <sheetViews>
    <sheetView topLeftCell="A19" workbookViewId="0">
      <selection activeCell="G44" sqref="G44"/>
    </sheetView>
  </sheetViews>
  <sheetFormatPr defaultColWidth="8.85546875" defaultRowHeight="12.75" x14ac:dyDescent="0.2"/>
  <cols>
    <col min="1" max="1" width="16.42578125" style="263" customWidth="1"/>
    <col min="2" max="2" width="10.140625" style="263" customWidth="1"/>
    <col min="3" max="3" width="20.28515625" style="263" customWidth="1"/>
    <col min="4" max="7" width="8.85546875" style="263"/>
    <col min="8" max="8" width="13.5703125" style="263" customWidth="1"/>
    <col min="9" max="16384" width="8.85546875" style="263"/>
  </cols>
  <sheetData>
    <row r="13" spans="2:9" ht="15.75" x14ac:dyDescent="0.25">
      <c r="B13" s="276" t="s">
        <v>112</v>
      </c>
      <c r="C13" s="276"/>
      <c r="D13" s="276"/>
      <c r="E13" s="276"/>
      <c r="F13" s="277" t="s">
        <v>494</v>
      </c>
      <c r="G13" s="277"/>
      <c r="H13" s="277"/>
      <c r="I13" s="277"/>
    </row>
    <row r="14" spans="2:9" ht="7.9" customHeight="1" x14ac:dyDescent="0.25">
      <c r="B14" s="264"/>
      <c r="C14" s="264"/>
      <c r="D14" s="264"/>
      <c r="E14" s="264"/>
      <c r="F14" s="265"/>
      <c r="G14" s="265"/>
      <c r="H14" s="265"/>
      <c r="I14" s="265"/>
    </row>
    <row r="15" spans="2:9" ht="15.75" x14ac:dyDescent="0.25">
      <c r="B15" s="276" t="s">
        <v>113</v>
      </c>
      <c r="C15" s="276"/>
      <c r="D15" s="276"/>
      <c r="E15" s="276"/>
      <c r="F15" s="278">
        <v>43109</v>
      </c>
      <c r="G15" s="277"/>
      <c r="H15" s="277"/>
      <c r="I15" s="277"/>
    </row>
    <row r="16" spans="2:9" ht="7.9" customHeight="1" x14ac:dyDescent="0.25">
      <c r="B16" s="264"/>
      <c r="C16" s="264"/>
      <c r="D16" s="264"/>
      <c r="E16" s="264"/>
      <c r="F16" s="265"/>
      <c r="G16" s="265"/>
      <c r="H16" s="265"/>
      <c r="I16" s="265"/>
    </row>
    <row r="17" spans="2:9" ht="15.75" x14ac:dyDescent="0.25">
      <c r="B17" s="276" t="s">
        <v>114</v>
      </c>
      <c r="C17" s="276"/>
      <c r="D17" s="276"/>
      <c r="E17" s="276"/>
      <c r="F17" s="279">
        <v>45638</v>
      </c>
      <c r="G17" s="279"/>
      <c r="H17" s="279"/>
      <c r="I17" s="279"/>
    </row>
    <row r="31" spans="2:9" ht="27" customHeight="1" x14ac:dyDescent="0.2"/>
    <row r="33" spans="1:6" ht="42" customHeight="1" x14ac:dyDescent="0.2"/>
    <row r="34" spans="1:6" ht="13.5" thickBot="1" x14ac:dyDescent="0.25">
      <c r="E34" s="120"/>
      <c r="F34" s="266" t="s">
        <v>295</v>
      </c>
    </row>
    <row r="35" spans="1:6" ht="13.5" thickTop="1" x14ac:dyDescent="0.2"/>
    <row r="36" spans="1:6" ht="13.5" thickBot="1" x14ac:dyDescent="0.25">
      <c r="E36" s="267"/>
      <c r="F36" s="266" t="s">
        <v>296</v>
      </c>
    </row>
    <row r="37" spans="1:6" ht="13.5" thickTop="1" x14ac:dyDescent="0.2"/>
    <row r="39" spans="1:6" x14ac:dyDescent="0.2">
      <c r="A39" s="268" t="s">
        <v>477</v>
      </c>
    </row>
    <row r="40" spans="1:6" ht="26.25" thickBot="1" x14ac:dyDescent="0.25">
      <c r="A40" s="269" t="s">
        <v>478</v>
      </c>
      <c r="B40" s="270" t="s">
        <v>479</v>
      </c>
    </row>
    <row r="41" spans="1:6" ht="13.5" thickTop="1" x14ac:dyDescent="0.2">
      <c r="A41" s="258" t="s">
        <v>480</v>
      </c>
      <c r="B41" s="271">
        <f>'OE SOURCE'!B7</f>
        <v>0</v>
      </c>
      <c r="C41" s="272" t="str">
        <f t="shared" ref="C41:C61" si="0">IF(B41=0,"INCOMPLETE"," ")</f>
        <v>INCOMPLETE</v>
      </c>
    </row>
    <row r="42" spans="1:6" x14ac:dyDescent="0.2">
      <c r="A42" s="258" t="s">
        <v>0</v>
      </c>
      <c r="B42" s="271">
        <f>'ORDER TYPE'!B7</f>
        <v>0</v>
      </c>
      <c r="C42" s="272" t="str">
        <f t="shared" si="0"/>
        <v>INCOMPLETE</v>
      </c>
    </row>
    <row r="43" spans="1:6" x14ac:dyDescent="0.2">
      <c r="A43" s="258" t="s">
        <v>18</v>
      </c>
      <c r="B43" s="271">
        <f>FREQUENCY!B7</f>
        <v>0</v>
      </c>
      <c r="C43" s="272" t="str">
        <f t="shared" si="0"/>
        <v>INCOMPLETE</v>
      </c>
    </row>
    <row r="44" spans="1:6" x14ac:dyDescent="0.2">
      <c r="A44" s="258" t="s">
        <v>481</v>
      </c>
      <c r="B44" s="271">
        <f>REASON!B7</f>
        <v>0</v>
      </c>
      <c r="C44" s="272" t="str">
        <f t="shared" si="0"/>
        <v>INCOMPLETE</v>
      </c>
    </row>
    <row r="45" spans="1:6" x14ac:dyDescent="0.2">
      <c r="A45" s="259" t="s">
        <v>482</v>
      </c>
      <c r="B45" s="273">
        <f>'ORDER CODE'!B7</f>
        <v>0</v>
      </c>
      <c r="C45" s="272" t="str">
        <f t="shared" si="0"/>
        <v>INCOMPLETE</v>
      </c>
    </row>
    <row r="46" spans="1:6" x14ac:dyDescent="0.2">
      <c r="A46" s="258" t="s">
        <v>483</v>
      </c>
      <c r="B46" s="271">
        <f>'DC Reason'!B7</f>
        <v>0</v>
      </c>
      <c r="C46" s="272" t="str">
        <f t="shared" si="0"/>
        <v>INCOMPLETE</v>
      </c>
    </row>
    <row r="47" spans="1:6" x14ac:dyDescent="0.2">
      <c r="A47" s="258" t="s">
        <v>89</v>
      </c>
      <c r="B47" s="271">
        <f>'Hold Reason'!B7</f>
        <v>0</v>
      </c>
      <c r="C47" s="272" t="str">
        <f t="shared" si="0"/>
        <v>INCOMPLETE</v>
      </c>
    </row>
    <row r="48" spans="1:6" x14ac:dyDescent="0.2">
      <c r="A48" s="258" t="s">
        <v>94</v>
      </c>
      <c r="B48" s="271">
        <f>'Resume Reason'!B7</f>
        <v>0</v>
      </c>
      <c r="C48" s="272" t="str">
        <f t="shared" si="0"/>
        <v>INCOMPLETE</v>
      </c>
    </row>
    <row r="49" spans="1:3" x14ac:dyDescent="0.2">
      <c r="A49" s="259" t="s">
        <v>484</v>
      </c>
      <c r="B49" s="273">
        <f>'Diet-Rest'!B4</f>
        <v>0</v>
      </c>
      <c r="C49" s="272" t="str">
        <f t="shared" si="0"/>
        <v>INCOMPLETE</v>
      </c>
    </row>
    <row r="50" spans="1:3" x14ac:dyDescent="0.2">
      <c r="A50" s="259" t="s">
        <v>485</v>
      </c>
      <c r="B50" s="273">
        <f>'Diet-Supp'!B3</f>
        <v>0</v>
      </c>
      <c r="C50" s="272" t="str">
        <f t="shared" si="0"/>
        <v>INCOMPLETE</v>
      </c>
    </row>
    <row r="51" spans="1:3" x14ac:dyDescent="0.2">
      <c r="A51" s="259" t="s">
        <v>486</v>
      </c>
      <c r="B51" s="273">
        <f>Insulin!B3</f>
        <v>0</v>
      </c>
      <c r="C51" s="272" t="str">
        <f t="shared" si="0"/>
        <v>INCOMPLETE</v>
      </c>
    </row>
    <row r="52" spans="1:3" x14ac:dyDescent="0.2">
      <c r="A52" s="259" t="s">
        <v>487</v>
      </c>
      <c r="B52" s="273">
        <f>'eMAR Types Proc'!B2</f>
        <v>0</v>
      </c>
      <c r="C52" s="272" t="str">
        <f t="shared" si="0"/>
        <v>INCOMPLETE</v>
      </c>
    </row>
    <row r="53" spans="1:3" x14ac:dyDescent="0.2">
      <c r="A53" s="259" t="s">
        <v>488</v>
      </c>
      <c r="B53" s="273">
        <f>'eMAR Events'!B2</f>
        <v>0</v>
      </c>
      <c r="C53" s="272" t="str">
        <f t="shared" si="0"/>
        <v>INCOMPLETE</v>
      </c>
    </row>
    <row r="54" spans="1:3" x14ac:dyDescent="0.2">
      <c r="A54" s="259" t="s">
        <v>489</v>
      </c>
      <c r="B54" s="273">
        <f>'eMAR Reg'!B2</f>
        <v>0</v>
      </c>
      <c r="C54" s="272" t="str">
        <f t="shared" si="0"/>
        <v>INCOMPLETE</v>
      </c>
    </row>
    <row r="55" spans="1:3" x14ac:dyDescent="0.2">
      <c r="A55" s="260" t="s">
        <v>37</v>
      </c>
      <c r="B55" s="274">
        <f>'ORDER GROUPS'!B5</f>
        <v>0</v>
      </c>
      <c r="C55" s="272" t="str">
        <f t="shared" si="0"/>
        <v>INCOMPLETE</v>
      </c>
    </row>
    <row r="56" spans="1:3" x14ac:dyDescent="0.2">
      <c r="A56" s="260" t="s">
        <v>490</v>
      </c>
      <c r="B56" s="274">
        <f>'OE Roles'!B3</f>
        <v>0</v>
      </c>
      <c r="C56" s="272" t="str">
        <f t="shared" si="0"/>
        <v>INCOMPLETE</v>
      </c>
    </row>
    <row r="57" spans="1:3" x14ac:dyDescent="0.2">
      <c r="A57" s="260" t="s">
        <v>491</v>
      </c>
      <c r="B57" s="274">
        <f>'OE Security'!B2</f>
        <v>0</v>
      </c>
      <c r="C57" s="272" t="str">
        <f t="shared" si="0"/>
        <v>INCOMPLETE</v>
      </c>
    </row>
    <row r="58" spans="1:3" ht="25.5" x14ac:dyDescent="0.2">
      <c r="A58" s="260" t="s">
        <v>3</v>
      </c>
      <c r="B58" s="274">
        <f>'REASON FOR CHANGE'!B7</f>
        <v>0</v>
      </c>
      <c r="C58" s="272" t="str">
        <f t="shared" si="0"/>
        <v>INCOMPLETE</v>
      </c>
    </row>
    <row r="59" spans="1:3" x14ac:dyDescent="0.2">
      <c r="A59" s="260" t="s">
        <v>4</v>
      </c>
      <c r="B59" s="274">
        <f>'NOTE CATEGORY'!B7</f>
        <v>0</v>
      </c>
      <c r="C59" s="272" t="str">
        <f t="shared" si="0"/>
        <v>INCOMPLETE</v>
      </c>
    </row>
    <row r="60" spans="1:3" x14ac:dyDescent="0.2">
      <c r="A60" s="260" t="s">
        <v>492</v>
      </c>
      <c r="B60" s="274">
        <f>'Pre-Authorizations'!B7</f>
        <v>0</v>
      </c>
      <c r="C60" s="272" t="str">
        <f t="shared" si="0"/>
        <v>INCOMPLETE</v>
      </c>
    </row>
    <row r="61" spans="1:3" ht="25.5" x14ac:dyDescent="0.2">
      <c r="A61" s="260" t="s">
        <v>493</v>
      </c>
      <c r="B61" s="274">
        <f>'Override-Basic Duplicate'!B8</f>
        <v>0</v>
      </c>
      <c r="C61" s="272" t="str">
        <f t="shared" si="0"/>
        <v>INCOMPLETE</v>
      </c>
    </row>
    <row r="62" spans="1:3" x14ac:dyDescent="0.2">
      <c r="A62" s="231"/>
      <c r="B62" s="275"/>
    </row>
    <row r="63" spans="1:3" x14ac:dyDescent="0.2">
      <c r="A63" s="231"/>
      <c r="B63" s="275"/>
    </row>
    <row r="64" spans="1:3" x14ac:dyDescent="0.2">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sheetData>
  <sheetProtection sheet="1" objects="1" scenarios="1"/>
  <mergeCells count="6">
    <mergeCell ref="B13:E13"/>
    <mergeCell ref="F13:I13"/>
    <mergeCell ref="B15:E15"/>
    <mergeCell ref="F15:I15"/>
    <mergeCell ref="B17:E17"/>
    <mergeCell ref="F17:I17"/>
  </mergeCells>
  <hyperlinks>
    <hyperlink ref="A41" location="'OE SOURCE'!A1" display="OE Source"/>
    <hyperlink ref="A42" location="'ORDER TYPE'!A1" display="Order Type"/>
    <hyperlink ref="A43" location="FREQUENCY!A1" display="Frequency"/>
    <hyperlink ref="A44" location="REASON!A1" display="REASON"/>
    <hyperlink ref="A45" location="'ORDER CODE'!A1" display="ORDER CODE"/>
    <hyperlink ref="A46" location="'DC Reason'!A1" display="DC Reason"/>
    <hyperlink ref="A47" location="'Hold Reason'!A1" display="Hold Reason"/>
    <hyperlink ref="A48" location="'Resume Reason'!A1" display="Resume Reason"/>
    <hyperlink ref="A49" location="'Diet-Rest'!A1" display="Diet-Rest"/>
    <hyperlink ref="A50" location="'Diet-Supp'!A1" display="Diet-Supp"/>
    <hyperlink ref="A51" location="Insulin!A1" display="Insulin"/>
    <hyperlink ref="A52" location="'eMAR Types Proc'!A1" display="eMAR Types Proc"/>
    <hyperlink ref="A53" location="'eMAR Events'!A1" display="eMAR Events"/>
    <hyperlink ref="A54" location="'eMAR Reg'!A1" display="eMAR Reg"/>
    <hyperlink ref="A55" location="'ORDER GROUPS'!A1" display="Order Groups"/>
    <hyperlink ref="A56" location="'OE Roles'!A1" display="OE Roles"/>
    <hyperlink ref="A57" location="'OE Security'!A1" display="OE Security"/>
    <hyperlink ref="A58" location="'REASON FOR CHANGE'!A1" display="Reason for Change"/>
    <hyperlink ref="A59" location="'NOTE CATEGORY'!A1" display="Note Category"/>
    <hyperlink ref="A60" location="'Pre-Authorizations'!A1" display="Pre-Authorizations"/>
    <hyperlink ref="A61"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workbookViewId="0">
      <pane xSplit="2" ySplit="10" topLeftCell="C11" activePane="bottomRight" state="frozen"/>
      <selection pane="topRight" activeCell="C1" sqref="C1"/>
      <selection pane="bottomLeft" activeCell="A11" sqref="A11"/>
      <selection pane="bottomRight" activeCell="B17" sqref="B17"/>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0" t="s">
        <v>385</v>
      </c>
      <c r="B6" s="280"/>
      <c r="C6" s="280"/>
    </row>
    <row r="7" spans="1:4" ht="13.5" thickBot="1" x14ac:dyDescent="0.25">
      <c r="A7" s="5" t="s">
        <v>476</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t="s">
        <v>495</v>
      </c>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B13:L62"/>
  <sheetViews>
    <sheetView workbookViewId="0">
      <selection activeCell="I13" sqref="I13:L13"/>
    </sheetView>
  </sheetViews>
  <sheetFormatPr defaultRowHeight="12.75" x14ac:dyDescent="0.2"/>
  <cols>
    <col min="1" max="1" width="13.85546875" customWidth="1"/>
    <col min="2" max="2" width="12.28515625" customWidth="1"/>
    <col min="8" max="8" width="13.5703125" customWidth="1"/>
  </cols>
  <sheetData>
    <row r="13" spans="5:12" ht="15.75" x14ac:dyDescent="0.25">
      <c r="E13" s="281" t="s">
        <v>112</v>
      </c>
      <c r="F13" s="281"/>
      <c r="G13" s="281"/>
      <c r="H13" s="281"/>
      <c r="I13" s="282" t="str">
        <f>'[1]Instr Phase 1'!F13</f>
        <v>MIS</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v>41957</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f>'[1]Instr Phase 1'!F17</f>
        <v>45638</v>
      </c>
      <c r="J17" s="285"/>
      <c r="K17" s="285"/>
      <c r="L17" s="285"/>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C13:L40"/>
  <sheetViews>
    <sheetView topLeftCell="A7" workbookViewId="0">
      <selection activeCell="I17" sqref="I17:L17"/>
    </sheetView>
  </sheetViews>
  <sheetFormatPr defaultRowHeight="12.75" x14ac:dyDescent="0.2"/>
  <cols>
    <col min="8" max="8" width="13.5703125" customWidth="1"/>
  </cols>
  <sheetData>
    <row r="13" spans="5:12" ht="15.75" x14ac:dyDescent="0.25">
      <c r="E13" s="281" t="s">
        <v>112</v>
      </c>
      <c r="F13" s="281"/>
      <c r="G13" s="281"/>
      <c r="H13" s="281"/>
      <c r="I13" s="282" t="str">
        <f>'[1]Instr Phase 1'!F13</f>
        <v>MIS</v>
      </c>
      <c r="J13" s="282"/>
      <c r="K13" s="282"/>
      <c r="L13" s="282"/>
    </row>
    <row r="14" spans="5:12" ht="7.9" customHeight="1" x14ac:dyDescent="0.25">
      <c r="E14" s="25"/>
      <c r="F14" s="25"/>
      <c r="G14" s="25"/>
      <c r="H14" s="25"/>
      <c r="I14" s="153"/>
      <c r="J14" s="153"/>
      <c r="K14" s="153"/>
      <c r="L14" s="153"/>
    </row>
    <row r="15" spans="5:12" ht="15.75" x14ac:dyDescent="0.25">
      <c r="E15" s="281" t="s">
        <v>293</v>
      </c>
      <c r="F15" s="281"/>
      <c r="G15" s="281"/>
      <c r="H15" s="281"/>
      <c r="I15" s="283" t="s">
        <v>298</v>
      </c>
      <c r="J15" s="284"/>
      <c r="K15" s="284"/>
      <c r="L15" s="284"/>
    </row>
    <row r="16" spans="5:12" ht="7.9" customHeight="1" x14ac:dyDescent="0.25">
      <c r="E16" s="25"/>
      <c r="F16" s="25"/>
      <c r="G16" s="25"/>
      <c r="H16" s="25"/>
      <c r="I16" s="153"/>
      <c r="J16" s="153"/>
      <c r="K16" s="153"/>
      <c r="L16" s="153"/>
    </row>
    <row r="17" spans="5:12" ht="15.75" x14ac:dyDescent="0.25">
      <c r="E17" s="281" t="s">
        <v>114</v>
      </c>
      <c r="F17" s="281"/>
      <c r="G17" s="281"/>
      <c r="H17" s="281"/>
      <c r="I17" s="285">
        <f>'[1]Instr Phase 1'!F17</f>
        <v>45638</v>
      </c>
      <c r="J17" s="285"/>
      <c r="K17" s="285"/>
      <c r="L17" s="285"/>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I9" activePane="bottomRight" state="frozen"/>
      <selection pane="topRight" activeCell="C1" sqref="C1"/>
      <selection pane="bottomLeft" activeCell="A9" sqref="A9"/>
      <selection pane="bottomRight" activeCell="B7" sqref="B7"/>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hidden="1" customWidth="1"/>
    <col min="17" max="17" width="15.85546875" hidden="1" customWidth="1"/>
    <col min="18" max="18" width="28.140625" hidden="1"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6" t="s">
        <v>115</v>
      </c>
      <c r="B6" s="286"/>
      <c r="C6" s="286"/>
      <c r="D6" s="286"/>
      <c r="E6" s="286"/>
      <c r="F6" s="223"/>
      <c r="G6" s="223"/>
      <c r="H6" s="223"/>
      <c r="I6" s="223"/>
      <c r="J6" s="223"/>
      <c r="K6" s="223"/>
      <c r="L6" s="223"/>
      <c r="M6" s="223"/>
      <c r="N6" s="223"/>
      <c r="O6" s="223"/>
    </row>
    <row r="7" spans="1:37" ht="13.5" thickBot="1" x14ac:dyDescent="0.25">
      <c r="A7" s="5" t="s">
        <v>476</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sheet="1" objects="1" scenarios="1"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0" t="s">
        <v>384</v>
      </c>
      <c r="B6" s="280"/>
      <c r="C6" s="2"/>
      <c r="D6" s="9"/>
    </row>
    <row r="7" spans="1:15" ht="13.5" thickBot="1" x14ac:dyDescent="0.25">
      <c r="A7" s="5" t="s">
        <v>476</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7" t="s">
        <v>122</v>
      </c>
      <c r="B6" s="288"/>
      <c r="C6" s="288"/>
      <c r="D6" s="27"/>
    </row>
    <row r="7" spans="1:15" customFormat="1" ht="13.5" thickBot="1" x14ac:dyDescent="0.25">
      <c r="A7" s="5" t="s">
        <v>476</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R2403"/>
  <sheetViews>
    <sheetView zoomScale="80" zoomScaleNormal="80" workbookViewId="0">
      <pane xSplit="2" ySplit="8" topLeftCell="C9" activePane="bottomRight" state="frozen"/>
      <selection pane="topRight" activeCell="C1" sqref="C1"/>
      <selection pane="bottomLeft" activeCell="A9" sqref="A9"/>
      <selection pane="bottomRight" activeCell="B9" sqref="B9"/>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hidden="1" customWidth="1"/>
    <col min="7" max="7" width="22" hidden="1" customWidth="1"/>
    <col min="8" max="8" width="23" hidden="1" customWidth="1"/>
    <col min="9" max="9" width="24.5703125" hidden="1" customWidth="1"/>
    <col min="10" max="10" width="15.85546875" hidden="1" customWidth="1"/>
    <col min="11" max="11" width="12.7109375" style="15" hidden="1" customWidth="1"/>
    <col min="12" max="12" width="18.85546875" style="15" customWidth="1"/>
    <col min="13" max="13" width="19" style="31" bestFit="1" customWidth="1"/>
    <col min="14" max="14" width="18" style="31" hidden="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89" t="s">
        <v>383</v>
      </c>
      <c r="B6" s="289"/>
      <c r="C6" s="289"/>
      <c r="D6" s="222"/>
      <c r="E6" s="222"/>
      <c r="Q6" s="15"/>
    </row>
    <row r="7" spans="1:18" ht="13.5" thickBot="1" x14ac:dyDescent="0.25">
      <c r="A7" s="5" t="s">
        <v>476</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sheet="1" objects="1" scenarios="1"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0" t="s">
        <v>121</v>
      </c>
      <c r="B6" s="290"/>
      <c r="C6" s="290"/>
      <c r="D6" s="15"/>
    </row>
    <row r="7" spans="1:15" ht="13.5" thickBot="1" x14ac:dyDescent="0.25">
      <c r="A7" s="5" t="s">
        <v>476</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0" t="s">
        <v>382</v>
      </c>
      <c r="B6" s="290"/>
      <c r="C6" s="290"/>
      <c r="D6" s="15"/>
    </row>
    <row r="7" spans="1:15" ht="13.5" thickBot="1" x14ac:dyDescent="0.25">
      <c r="A7" s="5" t="s">
        <v>476</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sheet="1" objects="1" scenarios="1" insertRows="0" delete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0" t="s">
        <v>386</v>
      </c>
      <c r="B6" s="280"/>
      <c r="D6" s="15"/>
    </row>
    <row r="7" spans="1:15" ht="13.5" thickBot="1" x14ac:dyDescent="0.25">
      <c r="A7" s="5" t="s">
        <v>476</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B4" sqref="B4"/>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476</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sheet="1" objects="1" scenarios="1"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476</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sheet="1" objects="1" scenarios="1"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467</v>
      </c>
      <c r="D1" s="8"/>
      <c r="E1" s="8" t="s">
        <v>475</v>
      </c>
    </row>
    <row r="2" spans="1:58" ht="131.44999999999999" customHeight="1" thickBot="1" x14ac:dyDescent="0.25"/>
    <row r="3" spans="1:58" ht="13.5" thickBot="1" x14ac:dyDescent="0.25">
      <c r="A3" s="5" t="s">
        <v>476</v>
      </c>
      <c r="B3" s="256"/>
      <c r="C3" s="3"/>
      <c r="D3" s="3"/>
      <c r="E3" s="3"/>
      <c r="F3" s="3"/>
      <c r="G3" s="3"/>
      <c r="H3" s="3"/>
      <c r="I3" s="3"/>
      <c r="J3" s="3"/>
      <c r="K3" s="3"/>
      <c r="L3" s="3"/>
      <c r="M3" s="3"/>
      <c r="N3" s="3"/>
      <c r="O3" s="3"/>
    </row>
    <row r="4" spans="1:58" ht="13.5" thickBot="1" x14ac:dyDescent="0.25">
      <c r="A4" s="246" t="s">
        <v>466</v>
      </c>
      <c r="B4" s="248"/>
    </row>
    <row r="5" spans="1:58" s="244" customFormat="1" ht="39" x14ac:dyDescent="0.25">
      <c r="A5" s="249" t="s">
        <v>468</v>
      </c>
      <c r="B5" s="249" t="s">
        <v>469</v>
      </c>
      <c r="C5" s="182" t="s">
        <v>470</v>
      </c>
      <c r="D5" s="182" t="s">
        <v>471</v>
      </c>
      <c r="E5" s="182" t="s">
        <v>472</v>
      </c>
      <c r="F5" s="182" t="s">
        <v>473</v>
      </c>
      <c r="G5" s="182" t="s">
        <v>474</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466</v>
      </c>
      <c r="B16" s="248"/>
    </row>
    <row r="17" spans="1:8" ht="39" x14ac:dyDescent="0.25">
      <c r="A17" s="249" t="s">
        <v>468</v>
      </c>
      <c r="B17" s="249" t="s">
        <v>469</v>
      </c>
      <c r="C17" s="182" t="s">
        <v>470</v>
      </c>
      <c r="D17" s="182" t="s">
        <v>471</v>
      </c>
      <c r="E17" s="182" t="s">
        <v>472</v>
      </c>
      <c r="F17" s="182" t="s">
        <v>473</v>
      </c>
      <c r="G17" s="182" t="s">
        <v>474</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466</v>
      </c>
      <c r="B28" s="248"/>
    </row>
    <row r="29" spans="1:8" ht="39" x14ac:dyDescent="0.25">
      <c r="A29" s="249" t="s">
        <v>468</v>
      </c>
      <c r="B29" s="249" t="s">
        <v>469</v>
      </c>
      <c r="C29" s="182" t="s">
        <v>470</v>
      </c>
      <c r="D29" s="182" t="s">
        <v>471</v>
      </c>
      <c r="E29" s="182" t="s">
        <v>472</v>
      </c>
      <c r="F29" s="182" t="s">
        <v>473</v>
      </c>
      <c r="G29" s="182" t="s">
        <v>474</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466</v>
      </c>
      <c r="B40" s="248"/>
    </row>
    <row r="41" spans="1:8" ht="39" x14ac:dyDescent="0.25">
      <c r="A41" s="249" t="s">
        <v>468</v>
      </c>
      <c r="B41" s="249" t="s">
        <v>469</v>
      </c>
      <c r="C41" s="182" t="s">
        <v>470</v>
      </c>
      <c r="D41" s="182" t="s">
        <v>471</v>
      </c>
      <c r="E41" s="182" t="s">
        <v>472</v>
      </c>
      <c r="F41" s="182" t="s">
        <v>473</v>
      </c>
      <c r="G41" s="182" t="s">
        <v>474</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466</v>
      </c>
      <c r="B53" s="248"/>
    </row>
    <row r="54" spans="1:8" ht="39" x14ac:dyDescent="0.25">
      <c r="A54" s="249" t="s">
        <v>468</v>
      </c>
      <c r="B54" s="249" t="s">
        <v>469</v>
      </c>
      <c r="C54" s="182" t="s">
        <v>470</v>
      </c>
      <c r="D54" s="182" t="s">
        <v>471</v>
      </c>
      <c r="E54" s="182" t="s">
        <v>472</v>
      </c>
      <c r="F54" s="182" t="s">
        <v>473</v>
      </c>
      <c r="G54" s="182" t="s">
        <v>474</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466</v>
      </c>
      <c r="B66" s="248"/>
    </row>
    <row r="67" spans="1:8" ht="39" x14ac:dyDescent="0.25">
      <c r="A67" s="249" t="s">
        <v>468</v>
      </c>
      <c r="B67" s="249" t="s">
        <v>469</v>
      </c>
      <c r="C67" s="182" t="s">
        <v>470</v>
      </c>
      <c r="D67" s="182" t="s">
        <v>471</v>
      </c>
      <c r="E67" s="182" t="s">
        <v>472</v>
      </c>
      <c r="F67" s="182" t="s">
        <v>473</v>
      </c>
      <c r="G67" s="182" t="s">
        <v>474</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466</v>
      </c>
      <c r="B79" s="248"/>
    </row>
    <row r="80" spans="1:8" ht="39" x14ac:dyDescent="0.25">
      <c r="A80" s="249" t="s">
        <v>468</v>
      </c>
      <c r="B80" s="249" t="s">
        <v>469</v>
      </c>
      <c r="C80" s="182" t="s">
        <v>470</v>
      </c>
      <c r="D80" s="182" t="s">
        <v>471</v>
      </c>
      <c r="E80" s="182" t="s">
        <v>472</v>
      </c>
      <c r="F80" s="182" t="s">
        <v>473</v>
      </c>
      <c r="G80" s="182" t="s">
        <v>474</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466</v>
      </c>
      <c r="B92" s="248"/>
    </row>
    <row r="93" spans="1:8" ht="39" x14ac:dyDescent="0.25">
      <c r="A93" s="249" t="s">
        <v>468</v>
      </c>
      <c r="B93" s="249" t="s">
        <v>469</v>
      </c>
      <c r="C93" s="182" t="s">
        <v>470</v>
      </c>
      <c r="D93" s="182" t="s">
        <v>471</v>
      </c>
      <c r="E93" s="182" t="s">
        <v>472</v>
      </c>
      <c r="F93" s="182" t="s">
        <v>473</v>
      </c>
      <c r="G93" s="182" t="s">
        <v>474</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466</v>
      </c>
      <c r="B105" s="248"/>
    </row>
    <row r="106" spans="1:8" ht="39" x14ac:dyDescent="0.25">
      <c r="A106" s="249" t="s">
        <v>468</v>
      </c>
      <c r="B106" s="249" t="s">
        <v>469</v>
      </c>
      <c r="C106" s="182" t="s">
        <v>470</v>
      </c>
      <c r="D106" s="182" t="s">
        <v>471</v>
      </c>
      <c r="E106" s="182" t="s">
        <v>472</v>
      </c>
      <c r="F106" s="182" t="s">
        <v>473</v>
      </c>
      <c r="G106" s="182" t="s">
        <v>474</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466</v>
      </c>
      <c r="B118" s="248"/>
    </row>
    <row r="119" spans="1:8" ht="39" x14ac:dyDescent="0.25">
      <c r="A119" s="249" t="s">
        <v>468</v>
      </c>
      <c r="B119" s="249" t="s">
        <v>469</v>
      </c>
      <c r="C119" s="182" t="s">
        <v>470</v>
      </c>
      <c r="D119" s="182" t="s">
        <v>471</v>
      </c>
      <c r="E119" s="182" t="s">
        <v>472</v>
      </c>
      <c r="F119" s="182" t="s">
        <v>473</v>
      </c>
      <c r="G119" s="182" t="s">
        <v>474</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466</v>
      </c>
      <c r="B131" s="248"/>
    </row>
    <row r="132" spans="1:8" ht="39" x14ac:dyDescent="0.25">
      <c r="A132" s="249" t="s">
        <v>468</v>
      </c>
      <c r="B132" s="249" t="s">
        <v>469</v>
      </c>
      <c r="C132" s="182" t="s">
        <v>470</v>
      </c>
      <c r="D132" s="182" t="s">
        <v>471</v>
      </c>
      <c r="E132" s="182" t="s">
        <v>472</v>
      </c>
      <c r="F132" s="182" t="s">
        <v>473</v>
      </c>
      <c r="G132" s="182" t="s">
        <v>474</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466</v>
      </c>
      <c r="B144" s="248"/>
    </row>
    <row r="145" spans="1:8" ht="39" x14ac:dyDescent="0.25">
      <c r="A145" s="249" t="s">
        <v>468</v>
      </c>
      <c r="B145" s="249" t="s">
        <v>469</v>
      </c>
      <c r="C145" s="182" t="s">
        <v>470</v>
      </c>
      <c r="D145" s="182" t="s">
        <v>471</v>
      </c>
      <c r="E145" s="182" t="s">
        <v>472</v>
      </c>
      <c r="F145" s="182" t="s">
        <v>473</v>
      </c>
      <c r="G145" s="182" t="s">
        <v>474</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466</v>
      </c>
      <c r="B157" s="248"/>
    </row>
    <row r="158" spans="1:8" ht="39" x14ac:dyDescent="0.25">
      <c r="A158" s="249" t="s">
        <v>468</v>
      </c>
      <c r="B158" s="249" t="s">
        <v>469</v>
      </c>
      <c r="C158" s="182" t="s">
        <v>470</v>
      </c>
      <c r="D158" s="182" t="s">
        <v>471</v>
      </c>
      <c r="E158" s="182" t="s">
        <v>472</v>
      </c>
      <c r="F158" s="182" t="s">
        <v>473</v>
      </c>
      <c r="G158" s="182" t="s">
        <v>474</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466</v>
      </c>
      <c r="B170" s="248"/>
    </row>
    <row r="171" spans="1:8" ht="39" x14ac:dyDescent="0.25">
      <c r="A171" s="249" t="s">
        <v>468</v>
      </c>
      <c r="B171" s="249" t="s">
        <v>469</v>
      </c>
      <c r="C171" s="182" t="s">
        <v>470</v>
      </c>
      <c r="D171" s="182" t="s">
        <v>471</v>
      </c>
      <c r="E171" s="182" t="s">
        <v>472</v>
      </c>
      <c r="F171" s="182" t="s">
        <v>473</v>
      </c>
      <c r="G171" s="182" t="s">
        <v>474</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1" t="s">
        <v>157</v>
      </c>
      <c r="B1" s="291"/>
      <c r="C1" s="176"/>
      <c r="D1" s="176"/>
      <c r="E1" s="176"/>
      <c r="F1" s="176"/>
      <c r="G1" s="176"/>
      <c r="H1" s="176"/>
      <c r="I1" s="176"/>
    </row>
    <row r="2" spans="1:15" ht="13.5" thickBot="1" x14ac:dyDescent="0.25">
      <c r="A2" s="5" t="s">
        <v>476</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sheet="1" objects="1" scenarios="1" formatCells="0" formatRows="0" sort="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2" t="s">
        <v>380</v>
      </c>
      <c r="B1" s="292"/>
      <c r="C1" s="292"/>
      <c r="D1" s="292"/>
      <c r="E1" s="292"/>
    </row>
    <row r="2" spans="1:15" ht="13.5" thickBot="1" x14ac:dyDescent="0.25">
      <c r="A2" s="5" t="s">
        <v>476</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3"/>
      <c r="E9" s="164"/>
      <c r="F9" s="105"/>
      <c r="G9" s="105"/>
      <c r="H9" s="105"/>
    </row>
    <row r="10" spans="1:15" x14ac:dyDescent="0.2">
      <c r="A10" s="106"/>
      <c r="B10" s="116"/>
      <c r="C10" s="24" t="s">
        <v>97</v>
      </c>
      <c r="D10" s="293"/>
      <c r="E10" s="164"/>
      <c r="F10" s="105"/>
      <c r="G10" s="105"/>
      <c r="H10" s="105"/>
    </row>
    <row r="11" spans="1:15" x14ac:dyDescent="0.2">
      <c r="A11" s="106"/>
      <c r="B11" s="24"/>
      <c r="C11" s="24" t="s">
        <v>97</v>
      </c>
      <c r="D11" s="293"/>
      <c r="E11" s="164"/>
      <c r="F11" s="105"/>
      <c r="G11" s="105"/>
      <c r="H11" s="105"/>
    </row>
    <row r="12" spans="1:15" x14ac:dyDescent="0.2">
      <c r="A12" s="106"/>
      <c r="B12" s="24"/>
      <c r="C12" s="24" t="s">
        <v>97</v>
      </c>
      <c r="D12" s="293"/>
      <c r="E12" s="164"/>
      <c r="F12" s="105"/>
      <c r="G12" s="105"/>
      <c r="H12" s="105"/>
    </row>
    <row r="13" spans="1:15" x14ac:dyDescent="0.2">
      <c r="A13" s="106"/>
      <c r="B13" s="24"/>
      <c r="C13" s="24" t="s">
        <v>97</v>
      </c>
      <c r="D13" s="293"/>
      <c r="E13" s="164"/>
      <c r="F13" s="105"/>
      <c r="G13" s="105"/>
      <c r="H13" s="105"/>
    </row>
    <row r="14" spans="1:15" x14ac:dyDescent="0.2">
      <c r="A14" s="106"/>
      <c r="B14" s="24"/>
      <c r="C14" s="24" t="s">
        <v>97</v>
      </c>
      <c r="D14" s="293"/>
      <c r="E14" s="164"/>
      <c r="F14" s="105"/>
      <c r="G14" s="105"/>
      <c r="H14" s="105"/>
    </row>
    <row r="15" spans="1:15" x14ac:dyDescent="0.2">
      <c r="A15" s="106"/>
      <c r="B15" s="24"/>
      <c r="C15" s="24" t="s">
        <v>97</v>
      </c>
      <c r="D15" s="293"/>
      <c r="E15" s="164"/>
      <c r="F15" s="105"/>
      <c r="G15" s="105"/>
      <c r="H15" s="105"/>
    </row>
    <row r="16" spans="1:15" x14ac:dyDescent="0.2">
      <c r="A16" s="106"/>
      <c r="B16" s="24"/>
      <c r="C16" s="24" t="s">
        <v>97</v>
      </c>
      <c r="D16" s="293"/>
      <c r="E16" s="164"/>
      <c r="F16" s="105"/>
      <c r="G16" s="105"/>
      <c r="H16" s="105"/>
    </row>
    <row r="17" spans="1:8" x14ac:dyDescent="0.2">
      <c r="A17" s="106"/>
      <c r="B17" s="24"/>
      <c r="C17" s="24" t="s">
        <v>97</v>
      </c>
      <c r="D17" s="293"/>
      <c r="E17" s="164"/>
      <c r="F17" s="105"/>
      <c r="G17" s="105"/>
      <c r="H17" s="105"/>
    </row>
    <row r="18" spans="1:8" x14ac:dyDescent="0.2">
      <c r="A18" s="106"/>
      <c r="B18" s="24"/>
      <c r="C18" s="24" t="s">
        <v>97</v>
      </c>
      <c r="D18" s="293"/>
      <c r="E18" s="164"/>
      <c r="F18" s="105"/>
      <c r="G18" s="105"/>
      <c r="H18" s="105"/>
    </row>
    <row r="19" spans="1:8" x14ac:dyDescent="0.2">
      <c r="A19" s="106"/>
      <c r="B19" s="24"/>
      <c r="C19" s="24" t="s">
        <v>97</v>
      </c>
      <c r="D19" s="293"/>
      <c r="E19" s="164"/>
      <c r="F19" s="105"/>
      <c r="G19" s="105"/>
      <c r="H19" s="105"/>
    </row>
    <row r="20" spans="1:8" x14ac:dyDescent="0.2">
      <c r="A20" s="106"/>
      <c r="B20" s="24"/>
      <c r="C20" s="24" t="s">
        <v>97</v>
      </c>
      <c r="D20" s="293"/>
      <c r="E20" s="164"/>
      <c r="F20" s="105"/>
      <c r="G20" s="105"/>
      <c r="H20" s="105"/>
    </row>
    <row r="21" spans="1:8" x14ac:dyDescent="0.2">
      <c r="A21" s="106"/>
      <c r="B21" s="24"/>
      <c r="C21" s="24" t="s">
        <v>97</v>
      </c>
      <c r="D21" s="293"/>
      <c r="E21" s="164"/>
      <c r="F21" s="105"/>
      <c r="G21" s="105"/>
      <c r="H21" s="105"/>
    </row>
    <row r="22" spans="1:8" x14ac:dyDescent="0.2">
      <c r="A22" s="106"/>
      <c r="B22" s="24"/>
      <c r="C22" s="24" t="s">
        <v>97</v>
      </c>
      <c r="D22" s="293"/>
      <c r="E22" s="164"/>
      <c r="F22" s="105"/>
      <c r="G22" s="105"/>
      <c r="H22" s="105"/>
    </row>
    <row r="23" spans="1:8" x14ac:dyDescent="0.2">
      <c r="A23" s="106"/>
      <c r="B23" s="24"/>
      <c r="C23" s="24" t="s">
        <v>97</v>
      </c>
      <c r="D23" s="293"/>
      <c r="E23" s="164"/>
      <c r="F23" s="105"/>
      <c r="G23" s="105"/>
      <c r="H23" s="105"/>
    </row>
    <row r="24" spans="1:8" x14ac:dyDescent="0.2">
      <c r="D24" s="293"/>
      <c r="E24" s="164"/>
    </row>
    <row r="25" spans="1:8" x14ac:dyDescent="0.2">
      <c r="D25" s="221"/>
      <c r="E25" s="164"/>
    </row>
  </sheetData>
  <sheetProtection sheet="1" objects="1" scenarios="1" formatCells="0" forma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296" t="s">
        <v>187</v>
      </c>
      <c r="B1" s="296"/>
      <c r="C1" s="296"/>
      <c r="D1" s="296"/>
      <c r="E1" s="296"/>
      <c r="F1" s="296"/>
      <c r="G1" s="151"/>
      <c r="H1" s="151"/>
      <c r="I1" s="151"/>
      <c r="J1" s="151"/>
      <c r="K1" s="151"/>
    </row>
    <row r="2" spans="1:17" customFormat="1" ht="21" thickBot="1" x14ac:dyDescent="0.35">
      <c r="A2" s="5" t="s">
        <v>476</v>
      </c>
      <c r="B2" s="257"/>
      <c r="C2" s="3"/>
      <c r="D2" s="3"/>
      <c r="E2" s="3"/>
      <c r="F2" s="3"/>
      <c r="G2" s="3"/>
      <c r="H2" s="3"/>
      <c r="I2" s="3"/>
      <c r="J2" s="3"/>
      <c r="K2" s="3"/>
      <c r="L2" s="3"/>
      <c r="M2" s="3"/>
      <c r="N2" s="3"/>
      <c r="O2" s="3"/>
    </row>
    <row r="3" spans="1:17" s="132" customFormat="1" ht="36.75" thickBot="1" x14ac:dyDescent="0.3">
      <c r="A3" s="131" t="s">
        <v>188</v>
      </c>
      <c r="B3" s="131" t="s">
        <v>189</v>
      </c>
      <c r="C3" s="131" t="s">
        <v>190</v>
      </c>
      <c r="D3" s="297" t="s">
        <v>191</v>
      </c>
      <c r="E3" s="298"/>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299" t="s">
        <v>196</v>
      </c>
      <c r="E5" s="300"/>
      <c r="F5" s="169"/>
      <c r="G5" s="151"/>
      <c r="H5" s="151"/>
      <c r="I5" s="151"/>
      <c r="J5" s="151"/>
      <c r="K5" s="151"/>
      <c r="L5" s="191"/>
      <c r="M5" s="191"/>
      <c r="N5" s="191"/>
      <c r="O5" s="191"/>
      <c r="P5" s="191"/>
      <c r="Q5" s="191"/>
    </row>
    <row r="6" spans="1:17" s="141" customFormat="1" ht="85.5" x14ac:dyDescent="0.2">
      <c r="A6" s="138" t="s">
        <v>197</v>
      </c>
      <c r="B6" s="138" t="s">
        <v>198</v>
      </c>
      <c r="C6" s="139"/>
      <c r="D6" s="294" t="s">
        <v>199</v>
      </c>
      <c r="E6" s="295"/>
      <c r="F6" s="169"/>
      <c r="G6" s="151"/>
      <c r="H6" s="151"/>
      <c r="I6" s="151"/>
      <c r="J6" s="151"/>
      <c r="K6" s="151"/>
      <c r="L6" s="191"/>
      <c r="M6" s="191"/>
      <c r="N6" s="191"/>
      <c r="O6" s="191"/>
      <c r="P6" s="191"/>
      <c r="Q6" s="191"/>
    </row>
    <row r="7" spans="1:17" s="141" customFormat="1" ht="128.25" x14ac:dyDescent="0.2">
      <c r="A7" s="138" t="s">
        <v>200</v>
      </c>
      <c r="B7" s="138" t="s">
        <v>201</v>
      </c>
      <c r="C7" s="139"/>
      <c r="D7" s="294" t="s">
        <v>202</v>
      </c>
      <c r="E7" s="295"/>
      <c r="F7" s="169"/>
      <c r="G7" s="151"/>
      <c r="H7" s="151"/>
      <c r="I7" s="151"/>
      <c r="J7" s="151"/>
      <c r="K7" s="151"/>
      <c r="L7" s="191"/>
      <c r="M7" s="191"/>
      <c r="N7" s="191"/>
      <c r="O7" s="191"/>
      <c r="P7" s="191"/>
      <c r="Q7" s="191"/>
    </row>
    <row r="8" spans="1:17" s="141" customFormat="1" ht="71.25" x14ac:dyDescent="0.2">
      <c r="A8" s="138" t="s">
        <v>203</v>
      </c>
      <c r="B8" s="138" t="s">
        <v>204</v>
      </c>
      <c r="C8" s="139"/>
      <c r="D8" s="294" t="s">
        <v>205</v>
      </c>
      <c r="E8" s="295"/>
      <c r="F8" s="169"/>
      <c r="G8" s="151"/>
      <c r="H8" s="151"/>
      <c r="I8" s="151"/>
      <c r="J8" s="151"/>
      <c r="K8" s="151"/>
      <c r="L8" s="191"/>
      <c r="M8" s="191"/>
      <c r="N8" s="191"/>
      <c r="O8" s="191"/>
      <c r="P8" s="191"/>
      <c r="Q8" s="191"/>
    </row>
    <row r="9" spans="1:17" s="141" customFormat="1" ht="57" x14ac:dyDescent="0.2">
      <c r="A9" s="138" t="s">
        <v>206</v>
      </c>
      <c r="B9" s="138" t="s">
        <v>207</v>
      </c>
      <c r="C9" s="139"/>
      <c r="D9" s="294" t="s">
        <v>208</v>
      </c>
      <c r="E9" s="295"/>
      <c r="F9" s="169"/>
      <c r="G9" s="151"/>
      <c r="H9" s="151"/>
      <c r="I9" s="151"/>
      <c r="J9" s="151"/>
      <c r="K9" s="151"/>
      <c r="L9" s="191"/>
      <c r="M9" s="191"/>
      <c r="N9" s="191"/>
      <c r="O9" s="191"/>
      <c r="P9" s="191"/>
      <c r="Q9" s="191"/>
    </row>
    <row r="10" spans="1:17" s="141" customFormat="1" ht="114" x14ac:dyDescent="0.2">
      <c r="A10" s="138" t="s">
        <v>209</v>
      </c>
      <c r="B10" s="138" t="s">
        <v>210</v>
      </c>
      <c r="C10" s="139"/>
      <c r="D10" s="294" t="s">
        <v>211</v>
      </c>
      <c r="E10" s="295"/>
      <c r="F10" s="169"/>
      <c r="G10" s="151"/>
      <c r="H10" s="151"/>
      <c r="I10" s="151"/>
      <c r="J10" s="151"/>
      <c r="K10" s="151"/>
      <c r="L10" s="191"/>
      <c r="M10" s="191"/>
      <c r="N10" s="191"/>
      <c r="O10" s="191"/>
      <c r="P10" s="191"/>
      <c r="Q10" s="191"/>
    </row>
    <row r="11" spans="1:17" s="141" customFormat="1" ht="370.5" x14ac:dyDescent="0.2">
      <c r="A11" s="138" t="s">
        <v>212</v>
      </c>
      <c r="B11" s="138" t="s">
        <v>213</v>
      </c>
      <c r="C11" s="139"/>
      <c r="D11" s="294" t="s">
        <v>214</v>
      </c>
      <c r="E11" s="295"/>
      <c r="F11" s="169"/>
      <c r="G11" s="151"/>
      <c r="H11" s="151"/>
      <c r="I11" s="151"/>
      <c r="J11" s="151"/>
      <c r="K11" s="151"/>
      <c r="L11" s="191"/>
      <c r="M11" s="191"/>
      <c r="N11" s="191"/>
      <c r="O11" s="191"/>
      <c r="P11" s="191"/>
      <c r="Q11" s="191"/>
    </row>
    <row r="12" spans="1:17" s="141" customFormat="1" ht="142.5" x14ac:dyDescent="0.2">
      <c r="A12" s="138" t="s">
        <v>215</v>
      </c>
      <c r="B12" s="138" t="s">
        <v>216</v>
      </c>
      <c r="C12" s="139"/>
      <c r="D12" s="294" t="s">
        <v>217</v>
      </c>
      <c r="E12" s="295"/>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301" t="s">
        <v>220</v>
      </c>
      <c r="E13" s="302"/>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299" t="s">
        <v>224</v>
      </c>
      <c r="E15" s="300"/>
      <c r="F15" s="169"/>
      <c r="G15" s="151"/>
      <c r="H15" s="151"/>
      <c r="I15" s="151"/>
      <c r="J15" s="151"/>
      <c r="K15" s="151"/>
      <c r="L15" s="191"/>
      <c r="M15" s="191"/>
      <c r="N15" s="191"/>
      <c r="O15" s="191"/>
      <c r="P15" s="191"/>
      <c r="Q15" s="191"/>
    </row>
    <row r="16" spans="1:17" s="141" customFormat="1" ht="71.25" x14ac:dyDescent="0.2">
      <c r="A16" s="138" t="s">
        <v>225</v>
      </c>
      <c r="B16" s="138" t="s">
        <v>226</v>
      </c>
      <c r="C16" s="139"/>
      <c r="D16" s="294" t="s">
        <v>227</v>
      </c>
      <c r="E16" s="295"/>
      <c r="F16" s="169"/>
      <c r="G16" s="151"/>
      <c r="H16" s="151"/>
      <c r="I16" s="151"/>
      <c r="J16" s="151"/>
      <c r="K16" s="151"/>
      <c r="L16" s="191"/>
      <c r="M16" s="191"/>
      <c r="N16" s="191"/>
      <c r="O16" s="191"/>
      <c r="P16" s="191"/>
      <c r="Q16" s="191"/>
    </row>
    <row r="17" spans="1:17" s="141" customFormat="1" ht="71.25" x14ac:dyDescent="0.2">
      <c r="A17" s="138" t="s">
        <v>228</v>
      </c>
      <c r="B17" s="138" t="s">
        <v>229</v>
      </c>
      <c r="C17" s="139"/>
      <c r="D17" s="294" t="s">
        <v>230</v>
      </c>
      <c r="E17" s="295"/>
      <c r="F17" s="169"/>
      <c r="G17" s="151"/>
      <c r="H17" s="151"/>
      <c r="I17" s="151"/>
      <c r="J17" s="151"/>
      <c r="K17" s="151"/>
      <c r="L17" s="191"/>
      <c r="M17" s="191"/>
      <c r="N17" s="191"/>
      <c r="O17" s="191"/>
      <c r="P17" s="191"/>
      <c r="Q17" s="191"/>
    </row>
    <row r="18" spans="1:17" s="141" customFormat="1" ht="128.25" x14ac:dyDescent="0.2">
      <c r="A18" s="138" t="s">
        <v>231</v>
      </c>
      <c r="B18" s="138" t="s">
        <v>232</v>
      </c>
      <c r="C18" s="139"/>
      <c r="D18" s="294" t="s">
        <v>230</v>
      </c>
      <c r="E18" s="295"/>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301" t="s">
        <v>235</v>
      </c>
      <c r="E19" s="302"/>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299" t="s">
        <v>239</v>
      </c>
      <c r="E21" s="300"/>
      <c r="F21" s="169"/>
      <c r="G21" s="151"/>
      <c r="H21" s="151"/>
      <c r="I21" s="151"/>
      <c r="J21" s="151"/>
      <c r="K21" s="151"/>
      <c r="L21" s="191"/>
      <c r="M21" s="191"/>
      <c r="N21" s="191"/>
      <c r="O21" s="191"/>
      <c r="P21" s="191"/>
      <c r="Q21" s="191"/>
    </row>
    <row r="22" spans="1:17" s="141" customFormat="1" ht="156.75" x14ac:dyDescent="0.2">
      <c r="A22" s="138" t="s">
        <v>240</v>
      </c>
      <c r="B22" s="138" t="s">
        <v>241</v>
      </c>
      <c r="C22" s="139"/>
      <c r="D22" s="294" t="s">
        <v>242</v>
      </c>
      <c r="E22" s="295"/>
      <c r="F22" s="169"/>
      <c r="G22" s="151"/>
      <c r="H22" s="151"/>
      <c r="I22" s="151"/>
      <c r="J22" s="151"/>
      <c r="K22" s="151"/>
      <c r="L22" s="191"/>
      <c r="M22" s="191"/>
      <c r="N22" s="191"/>
      <c r="O22" s="191"/>
      <c r="P22" s="191"/>
      <c r="Q22" s="191"/>
    </row>
    <row r="23" spans="1:17" s="141" customFormat="1" ht="99.75" x14ac:dyDescent="0.2">
      <c r="A23" s="138" t="s">
        <v>243</v>
      </c>
      <c r="B23" s="138" t="s">
        <v>244</v>
      </c>
      <c r="C23" s="139"/>
      <c r="D23" s="294" t="s">
        <v>245</v>
      </c>
      <c r="E23" s="295"/>
      <c r="F23" s="169"/>
      <c r="G23" s="151"/>
      <c r="H23" s="151"/>
      <c r="I23" s="151"/>
      <c r="J23" s="151"/>
      <c r="K23" s="151"/>
      <c r="L23" s="191"/>
      <c r="M23" s="191"/>
      <c r="N23" s="191"/>
      <c r="O23" s="191"/>
      <c r="P23" s="191"/>
      <c r="Q23" s="191"/>
    </row>
    <row r="24" spans="1:17" s="141" customFormat="1" ht="99.75" x14ac:dyDescent="0.2">
      <c r="A24" s="138" t="s">
        <v>246</v>
      </c>
      <c r="B24" s="138" t="s">
        <v>247</v>
      </c>
      <c r="C24" s="139"/>
      <c r="D24" s="294" t="s">
        <v>248</v>
      </c>
      <c r="E24" s="295"/>
      <c r="F24" s="169"/>
      <c r="G24" s="151"/>
      <c r="H24" s="151"/>
      <c r="I24" s="151"/>
      <c r="J24" s="151"/>
      <c r="K24" s="151"/>
      <c r="L24" s="191"/>
      <c r="M24" s="191"/>
      <c r="N24" s="191"/>
      <c r="O24" s="191"/>
      <c r="P24" s="191"/>
      <c r="Q24" s="191"/>
    </row>
    <row r="25" spans="1:17" s="141" customFormat="1" ht="114" x14ac:dyDescent="0.2">
      <c r="A25" s="138" t="s">
        <v>249</v>
      </c>
      <c r="B25" s="138" t="s">
        <v>250</v>
      </c>
      <c r="C25" s="139"/>
      <c r="D25" s="294" t="s">
        <v>251</v>
      </c>
      <c r="E25" s="295"/>
      <c r="F25" s="169"/>
      <c r="G25" s="151"/>
      <c r="H25" s="151"/>
      <c r="I25" s="151"/>
      <c r="J25" s="151"/>
      <c r="K25" s="151"/>
      <c r="L25" s="191"/>
      <c r="M25" s="191"/>
      <c r="N25" s="191"/>
      <c r="O25" s="191"/>
      <c r="P25" s="191"/>
      <c r="Q25" s="191"/>
    </row>
    <row r="26" spans="1:17" s="141" customFormat="1" ht="370.5" x14ac:dyDescent="0.2">
      <c r="A26" s="138" t="s">
        <v>252</v>
      </c>
      <c r="B26" s="138" t="s">
        <v>253</v>
      </c>
      <c r="C26" s="139"/>
      <c r="D26" s="294" t="s">
        <v>254</v>
      </c>
      <c r="E26" s="295"/>
      <c r="F26" s="169"/>
      <c r="G26" s="151"/>
      <c r="H26" s="151"/>
      <c r="I26" s="151"/>
      <c r="J26" s="151"/>
      <c r="K26" s="151"/>
      <c r="L26" s="191"/>
      <c r="M26" s="191"/>
      <c r="N26" s="191"/>
      <c r="O26" s="191"/>
      <c r="P26" s="191"/>
      <c r="Q26" s="191"/>
    </row>
    <row r="27" spans="1:17" s="141" customFormat="1" ht="185.25" x14ac:dyDescent="0.2">
      <c r="A27" s="138" t="s">
        <v>255</v>
      </c>
      <c r="B27" s="138" t="s">
        <v>256</v>
      </c>
      <c r="C27" s="139"/>
      <c r="D27" s="294" t="s">
        <v>257</v>
      </c>
      <c r="E27" s="295"/>
      <c r="F27" s="169"/>
      <c r="G27" s="151"/>
      <c r="H27" s="151"/>
      <c r="I27" s="151"/>
      <c r="J27" s="151"/>
      <c r="K27" s="151"/>
      <c r="L27" s="191"/>
      <c r="M27" s="191"/>
      <c r="N27" s="191"/>
      <c r="O27" s="191"/>
      <c r="P27" s="191"/>
      <c r="Q27" s="191"/>
    </row>
    <row r="28" spans="1:17" s="141" customFormat="1" ht="171" x14ac:dyDescent="0.2">
      <c r="A28" s="138" t="s">
        <v>258</v>
      </c>
      <c r="B28" s="138" t="s">
        <v>259</v>
      </c>
      <c r="C28" s="139"/>
      <c r="D28" s="294" t="s">
        <v>260</v>
      </c>
      <c r="E28" s="295"/>
      <c r="F28" s="169"/>
      <c r="G28" s="151"/>
      <c r="H28" s="151"/>
      <c r="I28" s="151"/>
      <c r="J28" s="151"/>
      <c r="K28" s="151"/>
      <c r="L28" s="191"/>
      <c r="M28" s="191"/>
      <c r="N28" s="191"/>
      <c r="O28" s="191"/>
      <c r="P28" s="191"/>
      <c r="Q28" s="191"/>
    </row>
    <row r="29" spans="1:17" s="141" customFormat="1" ht="256.5" x14ac:dyDescent="0.2">
      <c r="A29" s="138" t="s">
        <v>261</v>
      </c>
      <c r="B29" s="138" t="s">
        <v>262</v>
      </c>
      <c r="C29" s="139"/>
      <c r="D29" s="294" t="s">
        <v>263</v>
      </c>
      <c r="E29" s="295"/>
      <c r="F29" s="169"/>
      <c r="G29" s="151"/>
      <c r="H29" s="151"/>
      <c r="I29" s="151"/>
      <c r="J29" s="151"/>
      <c r="K29" s="151"/>
      <c r="L29" s="191"/>
      <c r="M29" s="191"/>
      <c r="N29" s="191"/>
      <c r="O29" s="191"/>
      <c r="P29" s="191"/>
      <c r="Q29" s="191"/>
    </row>
    <row r="30" spans="1:17" s="141" customFormat="1" ht="299.25" x14ac:dyDescent="0.2">
      <c r="A30" s="138" t="s">
        <v>264</v>
      </c>
      <c r="B30" s="138" t="s">
        <v>265</v>
      </c>
      <c r="C30" s="139"/>
      <c r="D30" s="294" t="s">
        <v>266</v>
      </c>
      <c r="E30" s="295"/>
      <c r="F30" s="169"/>
      <c r="G30" s="151"/>
      <c r="H30" s="151"/>
      <c r="I30" s="151"/>
      <c r="J30" s="151"/>
      <c r="K30" s="151"/>
      <c r="L30" s="191"/>
      <c r="M30" s="191"/>
      <c r="N30" s="191"/>
      <c r="O30" s="191"/>
      <c r="P30" s="191"/>
      <c r="Q30" s="191"/>
    </row>
    <row r="31" spans="1:17" s="141" customFormat="1" ht="370.5" x14ac:dyDescent="0.2">
      <c r="A31" s="138" t="s">
        <v>252</v>
      </c>
      <c r="B31" s="138" t="s">
        <v>267</v>
      </c>
      <c r="C31" s="139"/>
      <c r="D31" s="294" t="s">
        <v>268</v>
      </c>
      <c r="E31" s="295"/>
      <c r="F31" s="169"/>
      <c r="G31" s="151"/>
      <c r="H31" s="151"/>
      <c r="I31" s="151"/>
      <c r="J31" s="151"/>
      <c r="K31" s="151"/>
      <c r="L31" s="191"/>
      <c r="M31" s="191"/>
      <c r="N31" s="191"/>
      <c r="O31" s="191"/>
      <c r="P31" s="191"/>
      <c r="Q31" s="191"/>
    </row>
    <row r="32" spans="1:17" s="141" customFormat="1" ht="409.5" x14ac:dyDescent="0.2">
      <c r="A32" s="138" t="s">
        <v>269</v>
      </c>
      <c r="B32" s="138" t="s">
        <v>270</v>
      </c>
      <c r="C32" s="139"/>
      <c r="D32" s="294" t="s">
        <v>266</v>
      </c>
      <c r="E32" s="295"/>
      <c r="F32" s="169"/>
      <c r="G32" s="151"/>
      <c r="H32" s="151"/>
      <c r="I32" s="151"/>
      <c r="J32" s="151"/>
      <c r="K32" s="151"/>
      <c r="L32" s="191"/>
      <c r="M32" s="191"/>
      <c r="N32" s="191"/>
      <c r="O32" s="191"/>
      <c r="P32" s="191"/>
      <c r="Q32" s="191"/>
    </row>
    <row r="33" spans="1:17" s="141" customFormat="1" ht="128.25" x14ac:dyDescent="0.2">
      <c r="A33" s="138" t="s">
        <v>271</v>
      </c>
      <c r="B33" s="138" t="s">
        <v>272</v>
      </c>
      <c r="C33" s="139"/>
      <c r="D33" s="294" t="s">
        <v>273</v>
      </c>
      <c r="E33" s="295"/>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301" t="s">
        <v>276</v>
      </c>
      <c r="E34" s="302"/>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299" t="s">
        <v>279</v>
      </c>
      <c r="E36" s="300"/>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301" t="s">
        <v>282</v>
      </c>
      <c r="E37" s="302"/>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sheet="1" objects="1" scenarios="1" formatCells="0" formatRows="0" autoFilter="0"/>
  <autoFilter ref="A3:F3">
    <filterColumn colId="3" showButton="0"/>
  </autoFilter>
  <mergeCells count="34">
    <mergeCell ref="D33:E33"/>
    <mergeCell ref="D34:E34"/>
    <mergeCell ref="D36:E36"/>
    <mergeCell ref="D37:E37"/>
    <mergeCell ref="D27:E27"/>
    <mergeCell ref="D28:E28"/>
    <mergeCell ref="D29:E29"/>
    <mergeCell ref="D30:E30"/>
    <mergeCell ref="D31:E31"/>
    <mergeCell ref="D32:E32"/>
    <mergeCell ref="D26:E26"/>
    <mergeCell ref="D13:E13"/>
    <mergeCell ref="D15:E15"/>
    <mergeCell ref="D16:E16"/>
    <mergeCell ref="D17:E17"/>
    <mergeCell ref="D18:E18"/>
    <mergeCell ref="D19:E19"/>
    <mergeCell ref="D21:E21"/>
    <mergeCell ref="D22:E22"/>
    <mergeCell ref="D23:E23"/>
    <mergeCell ref="D24:E24"/>
    <mergeCell ref="D25:E25"/>
    <mergeCell ref="D12:E12"/>
    <mergeCell ref="A1:B1"/>
    <mergeCell ref="C1:D1"/>
    <mergeCell ref="E1:F1"/>
    <mergeCell ref="D3:E3"/>
    <mergeCell ref="D5:E5"/>
    <mergeCell ref="D6:E6"/>
    <mergeCell ref="D7:E7"/>
    <mergeCell ref="D8:E8"/>
    <mergeCell ref="D9:E9"/>
    <mergeCell ref="D10:E10"/>
    <mergeCell ref="D11:E11"/>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hidden="1"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3" t="s">
        <v>302</v>
      </c>
      <c r="B4" s="303"/>
      <c r="C4" s="99"/>
      <c r="D4" s="99"/>
      <c r="E4" s="99"/>
      <c r="F4" s="99"/>
      <c r="J4" s="9"/>
    </row>
    <row r="5" spans="1:26" ht="13.5" thickBot="1" x14ac:dyDescent="0.25">
      <c r="A5" s="5" t="s">
        <v>476</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sheet="1" objects="1" scenarios="1"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4" t="s">
        <v>378</v>
      </c>
      <c r="B2" s="305"/>
      <c r="C2" s="305"/>
    </row>
    <row r="3" spans="1:4" ht="19.149999999999999" customHeight="1" thickBot="1" x14ac:dyDescent="0.25">
      <c r="A3" s="5" t="s">
        <v>476</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6" t="s">
        <v>365</v>
      </c>
      <c r="D1" s="306"/>
      <c r="E1" s="306"/>
      <c r="F1" s="306"/>
      <c r="G1" s="306"/>
      <c r="H1" s="306"/>
      <c r="I1" s="194"/>
      <c r="J1" s="194"/>
      <c r="K1" s="194"/>
      <c r="L1" s="194"/>
      <c r="M1" s="194"/>
      <c r="N1" s="194"/>
      <c r="O1" s="194"/>
    </row>
    <row r="2" spans="1:15" ht="18" customHeight="1" thickBot="1" x14ac:dyDescent="0.35">
      <c r="A2" s="5" t="s">
        <v>476</v>
      </c>
      <c r="B2" s="253"/>
      <c r="C2" s="3"/>
      <c r="D2" s="3"/>
      <c r="E2" s="3"/>
      <c r="F2" s="3"/>
      <c r="G2" s="3"/>
      <c r="H2" s="3"/>
      <c r="I2" s="3"/>
      <c r="J2" s="3"/>
      <c r="K2" s="3"/>
      <c r="L2" s="3"/>
      <c r="M2" s="3"/>
      <c r="N2" s="194"/>
      <c r="O2" s="254"/>
    </row>
    <row r="3" spans="1:15" s="12" customFormat="1" ht="18" x14ac:dyDescent="0.25">
      <c r="A3" s="307"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8"/>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8"/>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8"/>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8"/>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8"/>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8"/>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8"/>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8"/>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8"/>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8"/>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8"/>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8"/>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09"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0"/>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0"/>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0"/>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0"/>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0"/>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0"/>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0"/>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0"/>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0"/>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0"/>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0"/>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0"/>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0"/>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0"/>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0"/>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1"/>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4" t="s">
        <v>377</v>
      </c>
      <c r="B6" s="304"/>
      <c r="C6" s="304"/>
      <c r="D6" s="99"/>
      <c r="E6" s="9"/>
    </row>
    <row r="7" spans="1:6" ht="19.149999999999999" customHeight="1" thickBot="1" x14ac:dyDescent="0.25">
      <c r="A7" s="5" t="s">
        <v>476</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3" t="s">
        <v>354</v>
      </c>
      <c r="B6" s="303"/>
      <c r="C6" s="303"/>
      <c r="F6" s="9"/>
    </row>
    <row r="7" spans="1:6" ht="17.45" customHeight="1" thickBot="1" x14ac:dyDescent="0.5">
      <c r="A7" s="5" t="s">
        <v>476</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4" t="s">
        <v>374</v>
      </c>
      <c r="B6" s="303"/>
      <c r="C6" s="303"/>
      <c r="D6" s="303"/>
      <c r="E6" s="9"/>
    </row>
    <row r="7" spans="1:14" ht="18" customHeight="1" thickBot="1" x14ac:dyDescent="0.5">
      <c r="A7" s="5" t="s">
        <v>476</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2" t="s">
        <v>108</v>
      </c>
      <c r="B6" s="312"/>
      <c r="C6" s="312"/>
      <c r="G6" s="9"/>
    </row>
    <row r="7" spans="1:16" ht="57" hidden="1" customHeight="1" x14ac:dyDescent="0.45">
      <c r="A7" s="30"/>
      <c r="B7" s="175"/>
      <c r="C7" s="8"/>
      <c r="G7" s="9"/>
    </row>
    <row r="8" spans="1:16" ht="19.899999999999999" customHeight="1" thickBot="1" x14ac:dyDescent="0.5">
      <c r="A8" s="5" t="s">
        <v>476</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2:G24"/>
  <sheetViews>
    <sheetView tabSelected="1" workbookViewId="0">
      <selection activeCell="A2" sqref="A2"/>
    </sheetView>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2" spans="1:7" ht="27" customHeight="1" x14ac:dyDescent="0.2">
      <c r="A2" s="243"/>
      <c r="B2" s="242"/>
      <c r="C2" s="242"/>
      <c r="D2" s="241"/>
      <c r="E2" s="241"/>
      <c r="F2" s="240"/>
      <c r="G2" s="240"/>
    </row>
    <row r="3" spans="1:7" s="236" customFormat="1" ht="30" x14ac:dyDescent="0.25">
      <c r="A3" s="236" t="s">
        <v>451</v>
      </c>
      <c r="B3" s="239" t="s">
        <v>450</v>
      </c>
      <c r="C3" s="239" t="s">
        <v>449</v>
      </c>
      <c r="D3" s="238" t="s">
        <v>448</v>
      </c>
      <c r="E3" s="238" t="s">
        <v>447</v>
      </c>
      <c r="F3" s="237" t="s">
        <v>446</v>
      </c>
      <c r="G3" s="237" t="s">
        <v>445</v>
      </c>
    </row>
    <row r="4" spans="1:7" s="232" customFormat="1" ht="120" x14ac:dyDescent="0.25">
      <c r="A4" s="232" t="s">
        <v>444</v>
      </c>
      <c r="B4" s="235" t="s">
        <v>443</v>
      </c>
      <c r="C4" s="235" t="s">
        <v>442</v>
      </c>
      <c r="D4" s="234" t="s">
        <v>441</v>
      </c>
      <c r="E4" s="234" t="s">
        <v>440</v>
      </c>
      <c r="F4" s="233" t="s">
        <v>439</v>
      </c>
      <c r="G4" s="233" t="s">
        <v>438</v>
      </c>
    </row>
    <row r="5" spans="1:7" ht="25.5" x14ac:dyDescent="0.2">
      <c r="A5" s="231" t="s">
        <v>437</v>
      </c>
      <c r="B5" s="231" t="s">
        <v>434</v>
      </c>
      <c r="C5" s="231" t="s">
        <v>436</v>
      </c>
      <c r="D5" s="231" t="s">
        <v>435</v>
      </c>
      <c r="E5" s="231" t="s">
        <v>434</v>
      </c>
      <c r="F5" s="231" t="s">
        <v>433</v>
      </c>
      <c r="G5" s="231" t="s">
        <v>461</v>
      </c>
    </row>
    <row r="6" spans="1:7" ht="38.25" x14ac:dyDescent="0.2">
      <c r="A6" s="231" t="s">
        <v>432</v>
      </c>
      <c r="B6" s="231" t="s">
        <v>431</v>
      </c>
      <c r="C6" s="231" t="s">
        <v>430</v>
      </c>
      <c r="D6" s="231" t="s">
        <v>429</v>
      </c>
      <c r="E6" s="231" t="s">
        <v>428</v>
      </c>
      <c r="F6" s="231" t="s">
        <v>427</v>
      </c>
      <c r="G6" s="231" t="s">
        <v>462</v>
      </c>
    </row>
    <row r="7" spans="1:7" ht="51" x14ac:dyDescent="0.2">
      <c r="A7" s="231" t="s">
        <v>426</v>
      </c>
      <c r="B7" s="231" t="s">
        <v>425</v>
      </c>
      <c r="C7" s="231" t="s">
        <v>424</v>
      </c>
      <c r="D7" s="231" t="s">
        <v>455</v>
      </c>
      <c r="E7" s="231" t="s">
        <v>423</v>
      </c>
      <c r="F7" s="231" t="s">
        <v>459</v>
      </c>
      <c r="G7" s="231" t="s">
        <v>463</v>
      </c>
    </row>
    <row r="8" spans="1:7" ht="63.75" x14ac:dyDescent="0.2">
      <c r="A8" s="231" t="s">
        <v>464</v>
      </c>
      <c r="B8" s="231" t="s">
        <v>422</v>
      </c>
      <c r="C8" s="231" t="s">
        <v>421</v>
      </c>
      <c r="D8" s="231" t="s">
        <v>456</v>
      </c>
      <c r="E8" s="231" t="s">
        <v>420</v>
      </c>
      <c r="F8" s="231" t="s">
        <v>460</v>
      </c>
    </row>
    <row r="9" spans="1:7" ht="25.5" x14ac:dyDescent="0.2">
      <c r="B9" s="231" t="s">
        <v>419</v>
      </c>
      <c r="C9" s="231" t="s">
        <v>418</v>
      </c>
      <c r="E9" s="231" t="s">
        <v>417</v>
      </c>
    </row>
    <row r="10" spans="1:7" ht="25.5" x14ac:dyDescent="0.2">
      <c r="B10" s="231" t="s">
        <v>416</v>
      </c>
      <c r="C10" s="231" t="s">
        <v>415</v>
      </c>
      <c r="E10" s="231" t="s">
        <v>414</v>
      </c>
    </row>
    <row r="11" spans="1:7" ht="25.5" x14ac:dyDescent="0.2">
      <c r="B11" s="231" t="s">
        <v>413</v>
      </c>
      <c r="C11" s="231" t="s">
        <v>412</v>
      </c>
      <c r="E11" s="231" t="s">
        <v>411</v>
      </c>
    </row>
    <row r="12" spans="1:7" ht="25.5" x14ac:dyDescent="0.2">
      <c r="B12" s="231" t="s">
        <v>410</v>
      </c>
      <c r="C12" s="231" t="s">
        <v>409</v>
      </c>
      <c r="E12" s="231" t="s">
        <v>408</v>
      </c>
    </row>
    <row r="13" spans="1:7" ht="25.5" x14ac:dyDescent="0.2">
      <c r="B13" s="231" t="s">
        <v>407</v>
      </c>
      <c r="C13" s="231" t="s">
        <v>406</v>
      </c>
      <c r="E13" s="231" t="s">
        <v>405</v>
      </c>
    </row>
    <row r="14" spans="1:7" ht="38.25" x14ac:dyDescent="0.2">
      <c r="B14" s="231" t="s">
        <v>404</v>
      </c>
      <c r="C14" s="231" t="s">
        <v>403</v>
      </c>
      <c r="E14" s="231" t="s">
        <v>457</v>
      </c>
    </row>
    <row r="15" spans="1:7" ht="51" x14ac:dyDescent="0.2">
      <c r="B15" s="231" t="s">
        <v>402</v>
      </c>
      <c r="C15" s="231" t="s">
        <v>401</v>
      </c>
      <c r="E15" s="231" t="s">
        <v>458</v>
      </c>
    </row>
    <row r="16" spans="1:7" ht="25.5" x14ac:dyDescent="0.2">
      <c r="B16" s="231" t="s">
        <v>400</v>
      </c>
      <c r="C16" s="231" t="s">
        <v>399</v>
      </c>
    </row>
    <row r="17" spans="2:3" x14ac:dyDescent="0.2">
      <c r="B17" s="231" t="s">
        <v>398</v>
      </c>
      <c r="C17" s="231" t="s">
        <v>397</v>
      </c>
    </row>
    <row r="18" spans="2:3" ht="25.5" x14ac:dyDescent="0.2">
      <c r="B18" s="231" t="s">
        <v>396</v>
      </c>
      <c r="C18" s="231" t="s">
        <v>395</v>
      </c>
    </row>
    <row r="19" spans="2:3" ht="25.5" x14ac:dyDescent="0.2">
      <c r="B19" s="231" t="s">
        <v>394</v>
      </c>
      <c r="C19" s="231" t="s">
        <v>465</v>
      </c>
    </row>
    <row r="20" spans="2:3" ht="25.5" x14ac:dyDescent="0.2">
      <c r="B20" s="231" t="s">
        <v>392</v>
      </c>
      <c r="C20" s="231" t="s">
        <v>393</v>
      </c>
    </row>
    <row r="21" spans="2:3" ht="51" x14ac:dyDescent="0.2">
      <c r="B21" s="231" t="s">
        <v>452</v>
      </c>
      <c r="C21" s="231" t="s">
        <v>391</v>
      </c>
    </row>
    <row r="22" spans="2:3" x14ac:dyDescent="0.2">
      <c r="B22" s="231" t="s">
        <v>390</v>
      </c>
      <c r="C22" s="231" t="s">
        <v>389</v>
      </c>
    </row>
    <row r="23" spans="2:3" ht="38.25" x14ac:dyDescent="0.2">
      <c r="B23" s="231" t="s">
        <v>388</v>
      </c>
      <c r="C23" s="231" t="s">
        <v>454</v>
      </c>
    </row>
    <row r="24" spans="2:3" ht="51" x14ac:dyDescent="0.2">
      <c r="B24" s="231" t="s">
        <v>387</v>
      </c>
      <c r="C24" s="231" t="s">
        <v>453</v>
      </c>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85725</xdr:colOff>
                    <xdr:row>1</xdr:row>
                    <xdr:rowOff>28575</xdr:rowOff>
                  </from>
                  <to>
                    <xdr:col>1</xdr:col>
                    <xdr:colOff>1200150</xdr:colOff>
                    <xdr:row>2</xdr:row>
                    <xdr:rowOff>9525</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57150</xdr:colOff>
                    <xdr:row>1</xdr:row>
                    <xdr:rowOff>47625</xdr:rowOff>
                  </from>
                  <to>
                    <xdr:col>2</xdr:col>
                    <xdr:colOff>1276350</xdr:colOff>
                    <xdr:row>1</xdr:row>
                    <xdr:rowOff>323850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28575</xdr:colOff>
                    <xdr:row>1</xdr:row>
                    <xdr:rowOff>47625</xdr:rowOff>
                  </from>
                  <to>
                    <xdr:col>4</xdr:col>
                    <xdr:colOff>1266825</xdr:colOff>
                    <xdr:row>1</xdr:row>
                    <xdr:rowOff>323850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28575</xdr:colOff>
                    <xdr:row>1</xdr:row>
                    <xdr:rowOff>38100</xdr:rowOff>
                  </from>
                  <to>
                    <xdr:col>5</xdr:col>
                    <xdr:colOff>1171575</xdr:colOff>
                    <xdr:row>1</xdr:row>
                    <xdr:rowOff>314325</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66675</xdr:colOff>
                    <xdr:row>1</xdr:row>
                    <xdr:rowOff>47625</xdr:rowOff>
                  </from>
                  <to>
                    <xdr:col>6</xdr:col>
                    <xdr:colOff>1314450</xdr:colOff>
                    <xdr:row>1</xdr:row>
                    <xdr:rowOff>295275</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customXml/itemProps2.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214A669-79B1-4973-B8EF-5F0CFCCDF94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OE SOURCE</vt:lpstr>
      <vt:lpstr>Instr Phase 2</vt:lpstr>
      <vt:lpstr>Instr Phase 3</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2015-04-01T13:47:26Z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